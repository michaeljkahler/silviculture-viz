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Eingabe" sheetId="2" state="visible" r:id="rId2"/>
    <sheet xmlns:r="http://schemas.openxmlformats.org/officeDocument/2006/relationships" name="CSV-Expor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2a6a3a"/>
      <sz val="18"/>
    </font>
    <font>
      <name val="Arial"/>
      <i val="1"/>
      <color rgb="00666666"/>
      <sz val="9"/>
    </font>
    <font>
      <name val="Arial"/>
      <sz val="10"/>
    </font>
    <font>
      <name val="Arial"/>
      <b val="1"/>
      <color rgb="002a6a3a"/>
      <sz val="12"/>
    </font>
    <font>
      <name val="Arial"/>
      <b val="1"/>
      <color rgb="002a6a3a"/>
      <sz val="14"/>
    </font>
    <font>
      <name val="Arial"/>
      <b val="1"/>
      <color rgb="00FFFFFF"/>
      <sz val="12"/>
    </font>
    <font>
      <name val="Arial"/>
      <b val="1"/>
      <sz val="10"/>
    </font>
    <font>
      <name val="Arial"/>
      <color rgb="000000FF"/>
      <sz val="10"/>
    </font>
    <font>
      <name val="Consolas"/>
      <sz val="10"/>
    </font>
  </fonts>
  <fills count="5">
    <fill>
      <patternFill/>
    </fill>
    <fill>
      <patternFill patternType="gray125"/>
    </fill>
    <fill>
      <patternFill patternType="solid">
        <fgColor rgb="002a6a3a"/>
      </patternFill>
    </fill>
    <fill>
      <patternFill patternType="solid">
        <fgColor rgb="00d4e8d4"/>
      </patternFill>
    </fill>
    <fill>
      <patternFill patternType="solid">
        <fgColor rgb="00fffae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horizontal="center" vertical="center"/>
    </xf>
    <xf numFmtId="0" fontId="6" fillId="2" borderId="0" applyAlignment="1" pivotButton="0" quotePrefix="0" xfId="0">
      <alignment horizontal="center" vertical="center"/>
    </xf>
    <xf numFmtId="0" fontId="6" fillId="2" borderId="1" applyAlignment="1" pivotButton="0" quotePrefix="0" xfId="0">
      <alignment horizontal="center" vertical="center"/>
    </xf>
    <xf numFmtId="0" fontId="7" fillId="3" borderId="1" applyAlignment="1" pivotButton="0" quotePrefix="0" xfId="0">
      <alignment horizontal="left" vertical="center"/>
    </xf>
    <xf numFmtId="0" fontId="8" fillId="4" borderId="1" applyAlignment="1" pivotButton="0" quotePrefix="0" xfId="0">
      <alignment horizontal="center" vertical="center"/>
    </xf>
    <xf numFmtId="0" fontId="2" fillId="0" borderId="0" applyAlignment="1" pivotButton="0" quotePrefix="0" xfId="0">
      <alignment horizontal="left" vertical="center" wrapText="1"/>
    </xf>
    <xf numFmtId="0" fontId="7" fillId="3" borderId="1" applyAlignment="1" pivotButton="0" quotePrefix="0" xfId="0">
      <alignment horizontal="center" vertical="center"/>
    </xf>
    <xf numFmtId="0" fontId="3" fillId="3" borderId="1" pivotButton="0" quotePrefix="0" xfId="0"/>
    <xf numFmtId="0" fontId="9"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Vorlage</author>
  </authors>
  <commentList>
    <comment ref="C22" authorId="0" shapeId="0">
      <text>
        <t>Baumart aktiv? (true/false)</t>
      </text>
    </comment>
    <comment ref="D22" authorId="0" shapeId="0">
      <text>
        <t>Mischungsanteil in % (0-100)</t>
      </text>
    </comment>
    <comment ref="E22" authorId="0" shapeId="0">
      <text>
        <t>Oberhöhe in Metern</t>
      </text>
    </comment>
    <comment ref="F22" authorId="0" shapeId="0">
      <text>
        <t>Kronenbreite in Metern</t>
      </text>
    </comment>
    <comment ref="G22" authorId="0" shapeId="0">
      <text>
        <t>Kronenlänge in Metern</t>
      </text>
    </comment>
    <comment ref="H22" authorId="0" shapeId="0">
      <text>
        <t>Kronenansatz in Metern</t>
      </text>
    </comment>
    <comment ref="I22" authorId="0" shapeId="0">
      <text>
        <t>Brusthöhendurchmesser in cm</t>
      </text>
    </comment>
    <comment ref="J22" authorId="0" shapeId="0">
      <text>
        <t>Oberschicht (Hauptbestand)</t>
      </text>
    </comment>
    <comment ref="K22" authorId="0" shapeId="0">
      <text>
        <t>Mittelschicht</t>
      </text>
    </comment>
    <comment ref="L22" authorId="0" shapeId="0">
      <text>
        <t>Unterschicht</t>
      </text>
    </comment>
    <comment ref="M22" authorId="0" shapeId="0">
      <text>
        <t>Verjüngung (Naturverjüngung)</t>
      </text>
    </comment>
    <comment ref="N22" authorId="0" shapeId="0">
      <text>
        <t>Habitatbaum-Kandidat (grösste Bäume werden geschützt)</t>
      </text>
    </comment>
    <comment ref="O22" authorId="0" shapeId="0">
      <text>
        <t>Mischungsform: einzel/trupp/gruppe/horst</t>
      </text>
    </comment>
    <comment ref="P22" authorId="0" shapeId="0">
      <text>
        <t>Zweite Mischungsform falls Primärform voll</t>
      </text>
    </comment>
    <comment ref="Q22" authorId="0" shapeId="0">
      <text>
        <t>Schattendiener (Liste mit Semikolon, z.B. "Ta;Bu;BAh")</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69"/>
  <sheetViews>
    <sheetView workbookViewId="0">
      <selection activeCell="A1" sqref="A1"/>
    </sheetView>
  </sheetViews>
  <sheetFormatPr baseColWidth="8" defaultRowHeight="15"/>
  <cols>
    <col width="100" customWidth="1" min="1" max="1"/>
  </cols>
  <sheetData>
    <row r="1">
      <c r="A1" s="1" t="inlineStr">
        <is>
          <t>waldbau-viz Arbeitsstand-Vorlage</t>
        </is>
      </c>
    </row>
    <row r="2">
      <c r="A2" s="2" t="inlineStr">
        <is>
          <t>Schemaversion: 1</t>
        </is>
      </c>
    </row>
    <row r="3">
      <c r="A3" s="3" t="inlineStr"/>
    </row>
    <row r="4">
      <c r="A4" s="4" t="inlineStr">
        <is>
          <t>ANLEITUNG</t>
        </is>
      </c>
    </row>
    <row r="5">
      <c r="A5" s="3" t="inlineStr"/>
    </row>
    <row r="6">
      <c r="A6" s="3" t="inlineStr">
        <is>
          <t>1. Wechsle zum Tab "Eingabe" und fülle die Felder aus.</t>
        </is>
      </c>
    </row>
    <row r="7">
      <c r="A7" s="3" t="inlineStr">
        <is>
          <t xml:space="preserve">   • Dropdown-Felder zeigen einen kleinen Pfeil — wähle einen erlaubten Wert.</t>
        </is>
      </c>
    </row>
    <row r="8">
      <c r="A8" s="3" t="inlineStr">
        <is>
          <t xml:space="preserve">   • Zahlenfelder werden automatisch validiert (z.B. Prozent muss zwischen 0 und 100 sein).</t>
        </is>
      </c>
    </row>
    <row r="9">
      <c r="A9" s="3" t="inlineStr">
        <is>
          <t xml:space="preserve">   • Gelb hinterlegte Zellen sind Eingabefelder — ändere KEINE anderen Zellen.</t>
        </is>
      </c>
    </row>
    <row r="10">
      <c r="A10" s="3" t="inlineStr"/>
    </row>
    <row r="11">
      <c r="A11" s="3" t="inlineStr">
        <is>
          <t>2. Wechsle zum Tab "CSV-Export".</t>
        </is>
      </c>
    </row>
    <row r="12">
      <c r="A12" s="3" t="inlineStr">
        <is>
          <t xml:space="preserve">   • Hier wird automatisch das CSV-Format aus deinen Eingaben aufgebaut.</t>
        </is>
      </c>
    </row>
    <row r="13">
      <c r="A13" s="3" t="inlineStr">
        <is>
          <t xml:space="preserve">   • Markiere alle Zellen in Spalte A (Strg+A oder Klick auf "A" und dann Strg+Shift+End).</t>
        </is>
      </c>
    </row>
    <row r="14">
      <c r="A14" s="3" t="inlineStr">
        <is>
          <t xml:space="preserve">   • Kopiere mit Strg+C.</t>
        </is>
      </c>
    </row>
    <row r="15">
      <c r="A15" s="3" t="inlineStr"/>
    </row>
    <row r="16">
      <c r="A16" s="3" t="inlineStr">
        <is>
          <t>3. Öffne einen Texteditor (Notepad, Notepad++, VS Code, ...).</t>
        </is>
      </c>
    </row>
    <row r="17">
      <c r="A17" s="3" t="inlineStr">
        <is>
          <t xml:space="preserve">   • Füge mit Strg+V ein.</t>
        </is>
      </c>
    </row>
    <row r="18">
      <c r="A18" s="3" t="inlineStr">
        <is>
          <t xml:space="preserve">   • Speichere als "waldbau-state.csv" (Encoding: UTF-8).</t>
        </is>
      </c>
    </row>
    <row r="19">
      <c r="A19" s="3" t="inlineStr"/>
    </row>
    <row r="20">
      <c r="A20" s="3" t="inlineStr">
        <is>
          <t>4. Im waldbau-viz Tool: Klick auf "📥 CSV Laden" und wähle deine Datei.</t>
        </is>
      </c>
    </row>
    <row r="21">
      <c r="A21" s="3" t="inlineStr"/>
    </row>
    <row r="22">
      <c r="A22" s="4" t="inlineStr">
        <is>
          <t>ALTERNATIVE: Direkt als CSV speichern</t>
        </is>
      </c>
    </row>
    <row r="23">
      <c r="A23" s="3" t="inlineStr"/>
    </row>
    <row r="24">
      <c r="A24" s="3" t="inlineStr">
        <is>
          <t xml:space="preserve">   • Wechsle zum "CSV-Export"-Tab</t>
        </is>
      </c>
    </row>
    <row r="25">
      <c r="A25" s="3" t="inlineStr">
        <is>
          <t xml:space="preserve">   • Datei → Speichern unter → Format: "CSV (Trennzeichen-getrennt) (.csv)"</t>
        </is>
      </c>
    </row>
    <row r="26">
      <c r="A26" s="3" t="inlineStr">
        <is>
          <t xml:space="preserve">   • Achtung: Excel speichert je nach Region ; oder , als Trenner.</t>
        </is>
      </c>
    </row>
    <row r="27">
      <c r="A27" s="3" t="inlineStr">
        <is>
          <t xml:space="preserve">     Falls Probleme: Verwende den Copy-Paste-Workflow oben.</t>
        </is>
      </c>
    </row>
    <row r="28">
      <c r="A28" s="3" t="inlineStr"/>
    </row>
    <row r="29">
      <c r="A29" s="4" t="inlineStr">
        <is>
          <t>HINWEISE</t>
        </is>
      </c>
    </row>
    <row r="30">
      <c r="A30" s="3" t="inlineStr"/>
    </row>
    <row r="31">
      <c r="A31" s="3" t="inlineStr">
        <is>
          <t>• Werte für Höhe, Kronenbreite etc. (h, cw, kl, ka, bhd) sind nur im manuellen Modus relevant.</t>
        </is>
      </c>
    </row>
    <row r="32">
      <c r="A32" s="3" t="inlineStr">
        <is>
          <t xml:space="preserve">  Bei timelineOn=true werden sie aus dem Alter berechnet (FBB/SiWaWa-Kurven).</t>
        </is>
      </c>
    </row>
    <row r="33">
      <c r="A33" s="3" t="inlineStr"/>
    </row>
    <row r="34">
      <c r="A34" s="3" t="inlineStr">
        <is>
          <t>• Die Summe aller pct-Werte aktiver Baumarten sollte 100 ergeben (wird beim Import nicht erzwungen).</t>
        </is>
      </c>
    </row>
    <row r="35">
      <c r="A35" s="3" t="inlineStr"/>
    </row>
    <row r="36">
      <c r="A36" s="3" t="inlineStr">
        <is>
          <t>• Dienerbäume: Mehrere Arten mit Semikolon trennen (z.B. "Ta;Bu;BAh").</t>
        </is>
      </c>
    </row>
    <row r="37">
      <c r="A37" s="3" t="inlineStr">
        <is>
          <t xml:space="preserve">  Nur Schattenbaumarten erlaubt: Ta, Bu, BAh, Fi, Li, Es, Dou.</t>
        </is>
      </c>
    </row>
    <row r="38">
      <c r="A38" s="3" t="inlineStr"/>
    </row>
    <row r="39">
      <c r="A39" s="3" t="inlineStr">
        <is>
          <t>• mixOverflow: Zweite Mischungsform falls die Primärform vollständig auf der Fläche untergebracht ist.</t>
        </is>
      </c>
    </row>
    <row r="40">
      <c r="A40" s="3" t="inlineStr">
        <is>
          <t xml:space="preserve">  Leer lassen wenn nicht gewünscht.</t>
        </is>
      </c>
    </row>
    <row r="41">
      <c r="A41" s="3" t="inlineStr"/>
    </row>
    <row r="42">
      <c r="A42" s="4" t="inlineStr">
        <is>
          <t>BAUMARTEN-CODES</t>
        </is>
      </c>
    </row>
    <row r="43">
      <c r="A43" s="3" t="inlineStr"/>
    </row>
    <row r="44">
      <c r="A44" s="3" t="inlineStr">
        <is>
          <t xml:space="preserve">   Bu   = Buche       (Fagus sylvatica)</t>
        </is>
      </c>
    </row>
    <row r="45">
      <c r="A45" s="3" t="inlineStr">
        <is>
          <t xml:space="preserve">   Ta   = Weisstanne  (Abies alba)</t>
        </is>
      </c>
    </row>
    <row r="46">
      <c r="A46" s="3" t="inlineStr">
        <is>
          <t xml:space="preserve">   Fi   = Fichte      (Picea abies)</t>
        </is>
      </c>
    </row>
    <row r="47">
      <c r="A47" s="3" t="inlineStr">
        <is>
          <t xml:space="preserve">   BAh  = Ahorn       (Acer ssp.)</t>
        </is>
      </c>
    </row>
    <row r="48">
      <c r="A48" s="3" t="inlineStr">
        <is>
          <t xml:space="preserve">   Ei   = Eiche       (Quercus ssp.)</t>
        </is>
      </c>
    </row>
    <row r="49">
      <c r="A49" s="3" t="inlineStr">
        <is>
          <t xml:space="preserve">   WFoe = Waldföhre   (Pinus sylvestris)</t>
        </is>
      </c>
    </row>
    <row r="50">
      <c r="A50" s="3" t="inlineStr">
        <is>
          <t xml:space="preserve">   Lae  = Lärche      (Larix decidua)</t>
        </is>
      </c>
    </row>
    <row r="51">
      <c r="A51" s="3" t="inlineStr">
        <is>
          <t xml:space="preserve">   Es   = Esche       (Fraxinus excelsior)</t>
        </is>
      </c>
    </row>
    <row r="52">
      <c r="A52" s="3" t="inlineStr">
        <is>
          <t xml:space="preserve">   Dou  = Douglasie   (Pseudotsuga menziesii)</t>
        </is>
      </c>
    </row>
    <row r="53">
      <c r="A53" s="3" t="inlineStr">
        <is>
          <t xml:space="preserve">   Li   = Linde       (Tilia ssp.)</t>
        </is>
      </c>
    </row>
    <row r="54">
      <c r="A54" s="3" t="inlineStr">
        <is>
          <t xml:space="preserve">   Bi   = Birke       (Betula pendula)</t>
        </is>
      </c>
    </row>
    <row r="55">
      <c r="A55" s="3" t="inlineStr"/>
    </row>
    <row r="56">
      <c r="A56" s="4" t="inlineStr">
        <is>
          <t>MISCHUNGSFORMEN</t>
        </is>
      </c>
    </row>
    <row r="57">
      <c r="A57" s="3" t="inlineStr"/>
    </row>
    <row r="58">
      <c r="A58" s="3" t="inlineStr">
        <is>
          <t xml:space="preserve">   einzel = Einzelmischung (zufällige Verteilung)</t>
        </is>
      </c>
    </row>
    <row r="59">
      <c r="A59" s="3" t="inlineStr">
        <is>
          <t xml:space="preserve">   trupp  = Trupp (~12m Cluster, 5–15 Bäume)</t>
        </is>
      </c>
    </row>
    <row r="60">
      <c r="A60" s="3" t="inlineStr">
        <is>
          <t xml:space="preserve">   gruppe = Gruppe (~18m Cluster, 15–30 Bäume)</t>
        </is>
      </c>
    </row>
    <row r="61">
      <c r="A61" s="3" t="inlineStr">
        <is>
          <t xml:space="preserve">   horst  = Horst (~30m Cluster, 30–50 Bäume)</t>
        </is>
      </c>
    </row>
    <row r="62">
      <c r="A62" s="3" t="inlineStr"/>
    </row>
    <row r="63">
      <c r="A63" s="4" t="inlineStr">
        <is>
          <t>SCHICHTEN</t>
        </is>
      </c>
    </row>
    <row r="64">
      <c r="A64" s="3" t="inlineStr"/>
    </row>
    <row r="65">
      <c r="A65" s="3" t="inlineStr">
        <is>
          <t xml:space="preserve">   layerO = Oberschicht (Hauptbestand)</t>
        </is>
      </c>
    </row>
    <row r="66">
      <c r="A66" s="3" t="inlineStr">
        <is>
          <t xml:space="preserve">   layerM = Mittelschicht</t>
        </is>
      </c>
    </row>
    <row r="67">
      <c r="A67" s="3" t="inlineStr">
        <is>
          <t xml:space="preserve">   layerU = Unterschicht</t>
        </is>
      </c>
    </row>
    <row r="68">
      <c r="A68" s="3" t="inlineStr">
        <is>
          <t xml:space="preserve">   layerV = Verjüngung</t>
        </is>
      </c>
    </row>
    <row r="69">
      <c r="A69"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3"/>
  <sheetViews>
    <sheetView workbookViewId="0">
      <pane xSplit="2" ySplit="22" topLeftCell="C23" activePane="bottomRight" state="frozen"/>
      <selection pane="topRight"/>
      <selection pane="bottomLeft"/>
      <selection pane="bottomRight" activeCell="A1" sqref="A1"/>
    </sheetView>
  </sheetViews>
  <sheetFormatPr baseColWidth="8" defaultRowHeight="15"/>
  <cols>
    <col width="22" customWidth="1" min="1" max="1"/>
    <col width="15" customWidth="1" min="2" max="2"/>
    <col width="60"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22" customWidth="1" min="17" max="17"/>
  </cols>
  <sheetData>
    <row r="1" ht="28" customHeight="1">
      <c r="A1" s="5" t="inlineStr">
        <is>
          <t>waldbau-viz Arbeitsstand — Eingabe</t>
        </is>
      </c>
    </row>
    <row r="3" ht="22" customHeight="1">
      <c r="A3" s="6" t="inlineStr">
        <is>
          <t>GLOBALE EINSTELLUNGEN</t>
        </is>
      </c>
    </row>
    <row r="4" ht="20" customHeight="1">
      <c r="A4" s="7" t="inlineStr">
        <is>
          <t>Parameter</t>
        </is>
      </c>
      <c r="B4" s="7" t="inlineStr">
        <is>
          <t>Wert</t>
        </is>
      </c>
      <c r="C4" s="7" t="inlineStr">
        <is>
          <t>Beschreibung</t>
        </is>
      </c>
    </row>
    <row r="5">
      <c r="A5" s="8" t="inlineStr">
        <is>
          <t>mode</t>
        </is>
      </c>
      <c r="B5" s="9" t="inlineStr">
        <is>
          <t>gleich</t>
        </is>
      </c>
      <c r="C5" s="10" t="inlineStr">
        <is>
          <t>Waldtyp: gleich = gleichförmiger Hochwald, ungleich = Plenterwald</t>
        </is>
      </c>
    </row>
    <row r="6">
      <c r="A6" s="8" t="inlineStr">
        <is>
          <t>density</t>
        </is>
      </c>
      <c r="B6" s="9" t="n">
        <v>220</v>
      </c>
      <c r="C6" s="10" t="inlineStr">
        <is>
          <t>Stämme pro Hektar (60–600)</t>
        </is>
      </c>
    </row>
    <row r="7">
      <c r="A7" s="8" t="inlineStr">
        <is>
          <t>transectY</t>
        </is>
      </c>
      <c r="B7" s="9" t="n">
        <v>50</v>
      </c>
      <c r="C7" s="10" t="inlineStr">
        <is>
          <t>Y-Position des Transekts in Metern (5–95)</t>
        </is>
      </c>
    </row>
    <row r="8">
      <c r="A8" s="8" t="inlineStr">
        <is>
          <t>transectWidth</t>
        </is>
      </c>
      <c r="B8" s="9" t="n">
        <v>10</v>
      </c>
      <c r="C8" s="10" t="inlineStr">
        <is>
          <t>Breite des Transekts in Metern (5–15)</t>
        </is>
      </c>
    </row>
    <row r="9">
      <c r="A9" s="8" t="inlineStr">
        <is>
          <t>seed</t>
        </is>
      </c>
      <c r="B9" s="9" t="n">
        <v>42</v>
      </c>
      <c r="C9" s="10" t="inlineStr">
        <is>
          <t>Zufallszahl für reproduzierbare Generierung (1–9999)</t>
        </is>
      </c>
    </row>
    <row r="10">
      <c r="A10" s="8" t="inlineStr">
        <is>
          <t>age</t>
        </is>
      </c>
      <c r="B10" s="9" t="n">
        <v>0</v>
      </c>
      <c r="C10" s="10" t="inlineStr">
        <is>
          <t>Bestandesalter in Jahren — nur relevant wenn timelineOn=true (0–140)</t>
        </is>
      </c>
    </row>
    <row r="11">
      <c r="A11" s="8" t="inlineStr">
        <is>
          <t>timelineOn</t>
        </is>
      </c>
      <c r="B11" s="9" t="inlineStr">
        <is>
          <t>false</t>
        </is>
      </c>
      <c r="C11" s="10" t="inlineStr">
        <is>
          <t>Zeitschiene aktiv? (Bei true werden h/cw/kl/ka/bhd aus age berechnet)</t>
        </is>
      </c>
    </row>
    <row r="12">
      <c r="A12" s="8" t="inlineStr">
        <is>
          <t>showVerjuengung</t>
        </is>
      </c>
      <c r="B12" s="9" t="inlineStr">
        <is>
          <t>true</t>
        </is>
      </c>
      <c r="C12" s="10" t="inlineStr">
        <is>
          <t>Naturverjüngung anzeigen?</t>
        </is>
      </c>
    </row>
    <row r="13">
      <c r="A13" s="8" t="inlineStr">
        <is>
          <t>showZBaum</t>
        </is>
      </c>
      <c r="B13" s="9" t="inlineStr">
        <is>
          <t>false</t>
        </is>
      </c>
      <c r="C13" s="10" t="inlineStr">
        <is>
          <t>Z-Bäume hervorheben?</t>
        </is>
      </c>
    </row>
    <row r="14">
      <c r="A14" s="8" t="inlineStr">
        <is>
          <t>showTotholz</t>
        </is>
      </c>
      <c r="B14" s="9" t="inlineStr">
        <is>
          <t>false</t>
        </is>
      </c>
      <c r="C14" s="10" t="inlineStr">
        <is>
          <t>Totholz (stehend + liegend) anzeigen?</t>
        </is>
      </c>
    </row>
    <row r="15">
      <c r="A15" s="8" t="inlineStr">
        <is>
          <t>showHabitat</t>
        </is>
      </c>
      <c r="B15" s="9" t="inlineStr">
        <is>
          <t>false</t>
        </is>
      </c>
      <c r="C15" s="10" t="inlineStr">
        <is>
          <t>Habitatbäume markieren?</t>
        </is>
      </c>
    </row>
    <row r="16">
      <c r="A16" s="8" t="inlineStr">
        <is>
          <t>nHabitat</t>
        </is>
      </c>
      <c r="B16" s="9" t="n">
        <v>5</v>
      </c>
      <c r="C16" s="10" t="inlineStr">
        <is>
          <t>Anzahl Habitatbäume pro ha (3–5)</t>
        </is>
      </c>
    </row>
    <row r="17">
      <c r="A17" s="8" t="inlineStr">
        <is>
          <t>dienerRadius</t>
        </is>
      </c>
      <c r="B17" s="9" t="n">
        <v>10</v>
      </c>
      <c r="C17" s="10" t="inlineStr">
        <is>
          <t>Breite des Dienerbaum-Mantels in Metern</t>
        </is>
      </c>
    </row>
    <row r="18">
      <c r="A18" s="8" t="inlineStr">
        <is>
          <t>mixPatternDefault</t>
        </is>
      </c>
      <c r="B18" s="9" t="inlineStr">
        <is>
          <t>einzel</t>
        </is>
      </c>
      <c r="C18" s="10" t="inlineStr">
        <is>
          <t>Standard-Mischungsform</t>
        </is>
      </c>
    </row>
    <row r="21" ht="22" customHeight="1">
      <c r="A21" s="6" t="inlineStr">
        <is>
          <t>BAUMARTEN-EINSTELLUNGEN</t>
        </is>
      </c>
    </row>
    <row r="22" ht="22" customHeight="1">
      <c r="A22" s="7" t="inlineStr">
        <is>
          <t>Code</t>
        </is>
      </c>
      <c r="B22" s="7" t="inlineStr">
        <is>
          <t>Name</t>
        </is>
      </c>
      <c r="C22" s="7" t="inlineStr">
        <is>
          <t>on</t>
        </is>
      </c>
      <c r="D22" s="7" t="inlineStr">
        <is>
          <t>pct</t>
        </is>
      </c>
      <c r="E22" s="7" t="inlineStr">
        <is>
          <t>h</t>
        </is>
      </c>
      <c r="F22" s="7" t="inlineStr">
        <is>
          <t>cw</t>
        </is>
      </c>
      <c r="G22" s="7" t="inlineStr">
        <is>
          <t>kl</t>
        </is>
      </c>
      <c r="H22" s="7" t="inlineStr">
        <is>
          <t>ka</t>
        </is>
      </c>
      <c r="I22" s="7" t="inlineStr">
        <is>
          <t>bhd</t>
        </is>
      </c>
      <c r="J22" s="7" t="inlineStr">
        <is>
          <t>layerO</t>
        </is>
      </c>
      <c r="K22" s="7" t="inlineStr">
        <is>
          <t>layerM</t>
        </is>
      </c>
      <c r="L22" s="7" t="inlineStr">
        <is>
          <t>layerU</t>
        </is>
      </c>
      <c r="M22" s="7" t="inlineStr">
        <is>
          <t>layerV</t>
        </is>
      </c>
      <c r="N22" s="7" t="inlineStr">
        <is>
          <t>habitat</t>
        </is>
      </c>
      <c r="O22" s="7" t="inlineStr">
        <is>
          <t>mixPattern</t>
        </is>
      </c>
      <c r="P22" s="7" t="inlineStr">
        <is>
          <t>mixOverflow</t>
        </is>
      </c>
      <c r="Q22" s="7" t="inlineStr">
        <is>
          <t>diener</t>
        </is>
      </c>
    </row>
    <row r="23">
      <c r="A23" s="11" t="inlineStr">
        <is>
          <t>Bu</t>
        </is>
      </c>
      <c r="B23" s="12" t="inlineStr">
        <is>
          <t>Buche</t>
        </is>
      </c>
      <c r="C23" s="9" t="inlineStr">
        <is>
          <t>true</t>
        </is>
      </c>
      <c r="D23" s="9" t="n">
        <v>65</v>
      </c>
      <c r="E23" s="9" t="n">
        <v>35</v>
      </c>
      <c r="F23" s="9" t="n">
        <v>12</v>
      </c>
      <c r="G23" s="9" t="n">
        <v>20</v>
      </c>
      <c r="H23" s="9" t="n">
        <v>15</v>
      </c>
      <c r="I23" s="9" t="n">
        <v>50</v>
      </c>
      <c r="J23" s="9" t="inlineStr">
        <is>
          <t>true</t>
        </is>
      </c>
      <c r="K23" s="9" t="inlineStr">
        <is>
          <t>false</t>
        </is>
      </c>
      <c r="L23" s="9" t="inlineStr">
        <is>
          <t>false</t>
        </is>
      </c>
      <c r="M23" s="9" t="inlineStr">
        <is>
          <t>false</t>
        </is>
      </c>
      <c r="N23" s="9" t="inlineStr">
        <is>
          <t>false</t>
        </is>
      </c>
      <c r="O23" s="9" t="inlineStr">
        <is>
          <t>einzel</t>
        </is>
      </c>
      <c r="P23" s="9" t="inlineStr"/>
      <c r="Q23" s="9" t="inlineStr"/>
    </row>
    <row r="24">
      <c r="A24" s="11" t="inlineStr">
        <is>
          <t>Ta</t>
        </is>
      </c>
      <c r="B24" s="12" t="inlineStr">
        <is>
          <t>Weisstanne</t>
        </is>
      </c>
      <c r="C24" s="9" t="inlineStr">
        <is>
          <t>true</t>
        </is>
      </c>
      <c r="D24" s="9" t="n">
        <v>15</v>
      </c>
      <c r="E24" s="9" t="n">
        <v>40</v>
      </c>
      <c r="F24" s="9" t="n">
        <v>8</v>
      </c>
      <c r="G24" s="9" t="n">
        <v>16</v>
      </c>
      <c r="H24" s="9" t="n">
        <v>24</v>
      </c>
      <c r="I24" s="9" t="n">
        <v>55</v>
      </c>
      <c r="J24" s="9" t="inlineStr">
        <is>
          <t>true</t>
        </is>
      </c>
      <c r="K24" s="9" t="inlineStr">
        <is>
          <t>false</t>
        </is>
      </c>
      <c r="L24" s="9" t="inlineStr">
        <is>
          <t>false</t>
        </is>
      </c>
      <c r="M24" s="9" t="inlineStr">
        <is>
          <t>false</t>
        </is>
      </c>
      <c r="N24" s="9" t="inlineStr">
        <is>
          <t>false</t>
        </is>
      </c>
      <c r="O24" s="9" t="inlineStr">
        <is>
          <t>einzel</t>
        </is>
      </c>
      <c r="P24" s="9" t="inlineStr"/>
      <c r="Q24" s="9" t="inlineStr"/>
    </row>
    <row r="25">
      <c r="A25" s="11" t="inlineStr">
        <is>
          <t>Fi</t>
        </is>
      </c>
      <c r="B25" s="12" t="inlineStr">
        <is>
          <t>Fichte</t>
        </is>
      </c>
      <c r="C25" s="9" t="inlineStr">
        <is>
          <t>true</t>
        </is>
      </c>
      <c r="D25" s="9" t="n">
        <v>10</v>
      </c>
      <c r="E25" s="9" t="n">
        <v>38</v>
      </c>
      <c r="F25" s="9" t="n">
        <v>6</v>
      </c>
      <c r="G25" s="9" t="n">
        <v>13</v>
      </c>
      <c r="H25" s="9" t="n">
        <v>25</v>
      </c>
      <c r="I25" s="9" t="n">
        <v>45</v>
      </c>
      <c r="J25" s="9" t="inlineStr">
        <is>
          <t>true</t>
        </is>
      </c>
      <c r="K25" s="9" t="inlineStr">
        <is>
          <t>false</t>
        </is>
      </c>
      <c r="L25" s="9" t="inlineStr">
        <is>
          <t>false</t>
        </is>
      </c>
      <c r="M25" s="9" t="inlineStr">
        <is>
          <t>false</t>
        </is>
      </c>
      <c r="N25" s="9" t="inlineStr">
        <is>
          <t>false</t>
        </is>
      </c>
      <c r="O25" s="9" t="inlineStr">
        <is>
          <t>einzel</t>
        </is>
      </c>
      <c r="P25" s="9" t="inlineStr"/>
      <c r="Q25" s="9" t="inlineStr"/>
    </row>
    <row r="26">
      <c r="A26" s="11" t="inlineStr">
        <is>
          <t>BAh</t>
        </is>
      </c>
      <c r="B26" s="12" t="inlineStr">
        <is>
          <t>Ahorn</t>
        </is>
      </c>
      <c r="C26" s="9" t="inlineStr">
        <is>
          <t>true</t>
        </is>
      </c>
      <c r="D26" s="9" t="n">
        <v>10</v>
      </c>
      <c r="E26" s="9" t="n">
        <v>30</v>
      </c>
      <c r="F26" s="9" t="n">
        <v>10</v>
      </c>
      <c r="G26" s="9" t="n">
        <v>18</v>
      </c>
      <c r="H26" s="9" t="n">
        <v>12</v>
      </c>
      <c r="I26" s="9" t="n">
        <v>40</v>
      </c>
      <c r="J26" s="9" t="inlineStr">
        <is>
          <t>true</t>
        </is>
      </c>
      <c r="K26" s="9" t="inlineStr">
        <is>
          <t>false</t>
        </is>
      </c>
      <c r="L26" s="9" t="inlineStr">
        <is>
          <t>false</t>
        </is>
      </c>
      <c r="M26" s="9" t="inlineStr">
        <is>
          <t>false</t>
        </is>
      </c>
      <c r="N26" s="9" t="inlineStr">
        <is>
          <t>false</t>
        </is>
      </c>
      <c r="O26" s="9" t="inlineStr">
        <is>
          <t>einzel</t>
        </is>
      </c>
      <c r="P26" s="9" t="inlineStr"/>
      <c r="Q26" s="9" t="inlineStr"/>
    </row>
    <row r="27">
      <c r="A27" s="11" t="inlineStr">
        <is>
          <t>Ei</t>
        </is>
      </c>
      <c r="B27" s="12" t="inlineStr">
        <is>
          <t>Eiche</t>
        </is>
      </c>
      <c r="C27" s="9" t="inlineStr">
        <is>
          <t>false</t>
        </is>
      </c>
      <c r="D27" s="9" t="n">
        <v>0</v>
      </c>
      <c r="E27" s="9" t="n">
        <v>30</v>
      </c>
      <c r="F27" s="9" t="n">
        <v>14</v>
      </c>
      <c r="G27" s="9" t="n">
        <v>18</v>
      </c>
      <c r="H27" s="9" t="n">
        <v>12</v>
      </c>
      <c r="I27" s="9" t="n">
        <v>55</v>
      </c>
      <c r="J27" s="9" t="inlineStr">
        <is>
          <t>true</t>
        </is>
      </c>
      <c r="K27" s="9" t="inlineStr">
        <is>
          <t>false</t>
        </is>
      </c>
      <c r="L27" s="9" t="inlineStr">
        <is>
          <t>false</t>
        </is>
      </c>
      <c r="M27" s="9" t="inlineStr">
        <is>
          <t>false</t>
        </is>
      </c>
      <c r="N27" s="9" t="inlineStr">
        <is>
          <t>false</t>
        </is>
      </c>
      <c r="O27" s="9" t="inlineStr">
        <is>
          <t>einzel</t>
        </is>
      </c>
      <c r="P27" s="9" t="inlineStr"/>
      <c r="Q27" s="9" t="inlineStr"/>
    </row>
    <row r="28">
      <c r="A28" s="11" t="inlineStr">
        <is>
          <t>WFoe</t>
        </is>
      </c>
      <c r="B28" s="12" t="inlineStr">
        <is>
          <t>Waldfoehre</t>
        </is>
      </c>
      <c r="C28" s="9" t="inlineStr">
        <is>
          <t>false</t>
        </is>
      </c>
      <c r="D28" s="9" t="n">
        <v>0</v>
      </c>
      <c r="E28" s="9" t="n">
        <v>28</v>
      </c>
      <c r="F28" s="9" t="n">
        <v>8</v>
      </c>
      <c r="G28" s="9" t="n">
        <v>9</v>
      </c>
      <c r="H28" s="9" t="n">
        <v>19</v>
      </c>
      <c r="I28" s="9" t="n">
        <v>40</v>
      </c>
      <c r="J28" s="9" t="inlineStr">
        <is>
          <t>true</t>
        </is>
      </c>
      <c r="K28" s="9" t="inlineStr">
        <is>
          <t>false</t>
        </is>
      </c>
      <c r="L28" s="9" t="inlineStr">
        <is>
          <t>false</t>
        </is>
      </c>
      <c r="M28" s="9" t="inlineStr">
        <is>
          <t>false</t>
        </is>
      </c>
      <c r="N28" s="9" t="inlineStr">
        <is>
          <t>false</t>
        </is>
      </c>
      <c r="O28" s="9" t="inlineStr">
        <is>
          <t>einzel</t>
        </is>
      </c>
      <c r="P28" s="9" t="inlineStr"/>
      <c r="Q28" s="9" t="inlineStr"/>
    </row>
    <row r="29">
      <c r="A29" s="11" t="inlineStr">
        <is>
          <t>Lae</t>
        </is>
      </c>
      <c r="B29" s="12" t="inlineStr">
        <is>
          <t>Laerche</t>
        </is>
      </c>
      <c r="C29" s="9" t="inlineStr">
        <is>
          <t>false</t>
        </is>
      </c>
      <c r="D29" s="9" t="n">
        <v>0</v>
      </c>
      <c r="E29" s="9" t="n">
        <v>35</v>
      </c>
      <c r="F29" s="9" t="n">
        <v>7</v>
      </c>
      <c r="G29" s="9" t="n">
        <v>12</v>
      </c>
      <c r="H29" s="9" t="n">
        <v>23</v>
      </c>
      <c r="I29" s="9" t="n">
        <v>40</v>
      </c>
      <c r="J29" s="9" t="inlineStr">
        <is>
          <t>true</t>
        </is>
      </c>
      <c r="K29" s="9" t="inlineStr">
        <is>
          <t>false</t>
        </is>
      </c>
      <c r="L29" s="9" t="inlineStr">
        <is>
          <t>false</t>
        </is>
      </c>
      <c r="M29" s="9" t="inlineStr">
        <is>
          <t>false</t>
        </is>
      </c>
      <c r="N29" s="9" t="inlineStr">
        <is>
          <t>false</t>
        </is>
      </c>
      <c r="O29" s="9" t="inlineStr">
        <is>
          <t>einzel</t>
        </is>
      </c>
      <c r="P29" s="9" t="inlineStr"/>
      <c r="Q29" s="9" t="inlineStr"/>
    </row>
    <row r="30">
      <c r="A30" s="11" t="inlineStr">
        <is>
          <t>Es</t>
        </is>
      </c>
      <c r="B30" s="12" t="inlineStr">
        <is>
          <t>Esche</t>
        </is>
      </c>
      <c r="C30" s="9" t="inlineStr">
        <is>
          <t>false</t>
        </is>
      </c>
      <c r="D30" s="9" t="n">
        <v>0</v>
      </c>
      <c r="E30" s="9" t="n">
        <v>32</v>
      </c>
      <c r="F30" s="9" t="n">
        <v>10</v>
      </c>
      <c r="G30" s="9" t="n">
        <v>18</v>
      </c>
      <c r="H30" s="9" t="n">
        <v>14</v>
      </c>
      <c r="I30" s="9" t="n">
        <v>45</v>
      </c>
      <c r="J30" s="9" t="inlineStr">
        <is>
          <t>true</t>
        </is>
      </c>
      <c r="K30" s="9" t="inlineStr">
        <is>
          <t>false</t>
        </is>
      </c>
      <c r="L30" s="9" t="inlineStr">
        <is>
          <t>false</t>
        </is>
      </c>
      <c r="M30" s="9" t="inlineStr">
        <is>
          <t>false</t>
        </is>
      </c>
      <c r="N30" s="9" t="inlineStr">
        <is>
          <t>false</t>
        </is>
      </c>
      <c r="O30" s="9" t="inlineStr">
        <is>
          <t>einzel</t>
        </is>
      </c>
      <c r="P30" s="9" t="inlineStr"/>
      <c r="Q30" s="9" t="inlineStr"/>
    </row>
    <row r="31">
      <c r="A31" s="11" t="inlineStr">
        <is>
          <t>Dou</t>
        </is>
      </c>
      <c r="B31" s="12" t="inlineStr">
        <is>
          <t>Douglasie</t>
        </is>
      </c>
      <c r="C31" s="9" t="inlineStr">
        <is>
          <t>false</t>
        </is>
      </c>
      <c r="D31" s="9" t="n">
        <v>0</v>
      </c>
      <c r="E31" s="9" t="n">
        <v>42</v>
      </c>
      <c r="F31" s="9" t="n">
        <v>7</v>
      </c>
      <c r="G31" s="9" t="n">
        <v>14</v>
      </c>
      <c r="H31" s="9" t="n">
        <v>28</v>
      </c>
      <c r="I31" s="9" t="n">
        <v>55</v>
      </c>
      <c r="J31" s="9" t="inlineStr">
        <is>
          <t>true</t>
        </is>
      </c>
      <c r="K31" s="9" t="inlineStr">
        <is>
          <t>false</t>
        </is>
      </c>
      <c r="L31" s="9" t="inlineStr">
        <is>
          <t>false</t>
        </is>
      </c>
      <c r="M31" s="9" t="inlineStr">
        <is>
          <t>false</t>
        </is>
      </c>
      <c r="N31" s="9" t="inlineStr">
        <is>
          <t>false</t>
        </is>
      </c>
      <c r="O31" s="9" t="inlineStr">
        <is>
          <t>einzel</t>
        </is>
      </c>
      <c r="P31" s="9" t="inlineStr"/>
      <c r="Q31" s="9" t="inlineStr"/>
    </row>
    <row r="32">
      <c r="A32" s="11" t="inlineStr">
        <is>
          <t>Li</t>
        </is>
      </c>
      <c r="B32" s="12" t="inlineStr">
        <is>
          <t>Linde</t>
        </is>
      </c>
      <c r="C32" s="9" t="inlineStr">
        <is>
          <t>false</t>
        </is>
      </c>
      <c r="D32" s="9" t="n">
        <v>0</v>
      </c>
      <c r="E32" s="9" t="n">
        <v>32</v>
      </c>
      <c r="F32" s="9" t="n">
        <v>11</v>
      </c>
      <c r="G32" s="9" t="n">
        <v>18</v>
      </c>
      <c r="H32" s="9" t="n">
        <v>14</v>
      </c>
      <c r="I32" s="9" t="n">
        <v>50</v>
      </c>
      <c r="J32" s="9" t="inlineStr">
        <is>
          <t>true</t>
        </is>
      </c>
      <c r="K32" s="9" t="inlineStr">
        <is>
          <t>false</t>
        </is>
      </c>
      <c r="L32" s="9" t="inlineStr">
        <is>
          <t>false</t>
        </is>
      </c>
      <c r="M32" s="9" t="inlineStr">
        <is>
          <t>false</t>
        </is>
      </c>
      <c r="N32" s="9" t="inlineStr">
        <is>
          <t>false</t>
        </is>
      </c>
      <c r="O32" s="9" t="inlineStr">
        <is>
          <t>einzel</t>
        </is>
      </c>
      <c r="P32" s="9" t="inlineStr"/>
      <c r="Q32" s="9" t="inlineStr"/>
    </row>
    <row r="33">
      <c r="A33" s="11" t="inlineStr">
        <is>
          <t>Bi</t>
        </is>
      </c>
      <c r="B33" s="12" t="inlineStr">
        <is>
          <t>Birke</t>
        </is>
      </c>
      <c r="C33" s="9" t="inlineStr">
        <is>
          <t>false</t>
        </is>
      </c>
      <c r="D33" s="9" t="n">
        <v>0</v>
      </c>
      <c r="E33" s="9" t="n">
        <v>25</v>
      </c>
      <c r="F33" s="9" t="n">
        <v>8</v>
      </c>
      <c r="G33" s="9" t="n">
        <v>14</v>
      </c>
      <c r="H33" s="9" t="n">
        <v>11</v>
      </c>
      <c r="I33" s="9" t="n">
        <v>35</v>
      </c>
      <c r="J33" s="9" t="inlineStr">
        <is>
          <t>true</t>
        </is>
      </c>
      <c r="K33" s="9" t="inlineStr">
        <is>
          <t>false</t>
        </is>
      </c>
      <c r="L33" s="9" t="inlineStr">
        <is>
          <t>false</t>
        </is>
      </c>
      <c r="M33" s="9" t="inlineStr">
        <is>
          <t>false</t>
        </is>
      </c>
      <c r="N33" s="9" t="inlineStr">
        <is>
          <t>false</t>
        </is>
      </c>
      <c r="O33" s="9" t="inlineStr">
        <is>
          <t>einzel</t>
        </is>
      </c>
      <c r="P33" s="9" t="inlineStr"/>
      <c r="Q33" s="9" t="inlineStr"/>
    </row>
  </sheetData>
  <mergeCells count="3">
    <mergeCell ref="A1:C1"/>
    <mergeCell ref="A3:C3"/>
    <mergeCell ref="A21:P21"/>
  </mergeCells>
  <dataValidations count="15">
    <dataValidation sqref="B5" showDropDown="0" showInputMessage="0" showErrorMessage="0" allowBlank="0" type="list">
      <formula1>"gleich,ungleich"</formula1>
    </dataValidation>
    <dataValidation sqref="B11 B12 B13 B14 B15" showDropDown="0" showInputMessage="0" showErrorMessage="0" allowBlank="0" type="list">
      <formula1>"true,false"</formula1>
    </dataValidation>
    <dataValidation sqref="B18" showDropDown="0" showInputMessage="0" showErrorMessage="0" allowBlank="0" type="list">
      <formula1>"einzel,trupp,gruppe,horst"</formula1>
    </dataValidation>
    <dataValidation sqref="B6" showDropDown="0" showInputMessage="0" showErrorMessage="0" allowBlank="0" errorTitle="Ungültiger Wert" error="Wert muss zwischen 60 und 600 liegen." type="whole" operator="between">
      <formula1>60</formula1>
      <formula2>600</formula2>
    </dataValidation>
    <dataValidation sqref="B7" showDropDown="0" showInputMessage="0" showErrorMessage="0" allowBlank="0" errorTitle="Ungültiger Wert" error="Wert muss zwischen 5 und 95 liegen." type="whole" operator="between">
      <formula1>5</formula1>
      <formula2>95</formula2>
    </dataValidation>
    <dataValidation sqref="B8" showDropDown="0" showInputMessage="0" showErrorMessage="0" allowBlank="0" errorTitle="Ungültiger Wert" error="Wert muss zwischen 5 und 15 liegen." type="whole" operator="between">
      <formula1>5</formula1>
      <formula2>15</formula2>
    </dataValidation>
    <dataValidation sqref="B9" showDropDown="0" showInputMessage="0" showErrorMessage="0" allowBlank="0" errorTitle="Ungültiger Wert" error="Wert muss zwischen 1 und 9999 liegen." type="whole" operator="between">
      <formula1>1</formula1>
      <formula2>9999</formula2>
    </dataValidation>
    <dataValidation sqref="B10" showDropDown="0" showInputMessage="0" showErrorMessage="0" allowBlank="0" errorTitle="Ungültiger Wert" error="Wert muss zwischen 0 und 140 liegen." type="whole" operator="between">
      <formula1>0</formula1>
      <formula2>140</formula2>
    </dataValidation>
    <dataValidation sqref="B16" showDropDown="0" showInputMessage="0" showErrorMessage="0" allowBlank="0" errorTitle="Ungültiger Wert" error="Wert muss zwischen 0 und 20 liegen." type="whole" operator="between">
      <formula1>0</formula1>
      <formula2>20</formula2>
    </dataValidation>
    <dataValidation sqref="B17" showDropDown="0" showInputMessage="0" showErrorMessage="0" allowBlank="0" errorTitle="Ungültiger Wert" error="Wert muss zwischen 5 und 20 liegen." type="whole" operator="between">
      <formula1>5</formula1>
      <formula2>20</formula2>
    </dataValidation>
    <dataValidation sqref="C23 C24 C25 C26 C27 C28 C29 C30 C31 C32 C33 J23 J24 J25 J26 J27 J28 J29 J30 J31 J32 J33 K23 K24 K25 K26 K27 K28 K29 K30 K31 K32 K33 L23 L24 L25 L26 L27 L28 L29 L30 L31 L32 L33 M23 M24 M25 M26 M27 M28 M29 M30 M31 M32 M33 N23 N24 N25 N26 N27 N28 N29 N30 N31 N32 N33" showDropDown="0" showInputMessage="0" showErrorMessage="0" allowBlank="0" type="list">
      <formula1>"true,false"</formula1>
    </dataValidation>
    <dataValidation sqref="O23 O24 O25 O26 O27 O28 O29 O30 O31 O32 O33" showDropDown="0" showInputMessage="0" showErrorMessage="0" allowBlank="0" type="list">
      <formula1>"einzel,trupp,gruppe,horst"</formula1>
    </dataValidation>
    <dataValidation sqref="P23 P24 P25 P26 P27 P28 P29 P30 P31 P32 P33" showDropDown="0" showInputMessage="0" showErrorMessage="0" allowBlank="1" type="list">
      <formula1>",einzel,trupp,gruppe,horst"</formula1>
    </dataValidation>
    <dataValidation sqref="D23 D24 D25 D26 D27 D28 D29 D30 D31 D32 D33" showDropDown="0" showInputMessage="0" showErrorMessage="0" allowBlank="0" errorTitle="Ungültiger Wert" error="Prozent muss zwischen 0 und 100 liegen." type="whole" operator="between">
      <formula1>0</formula1>
      <formula2>100</formula2>
    </dataValidation>
    <dataValidation sqref="E23 E24 E25 E26 E27 E28 E29 E30 E31 E32 E33 F23 F24 F25 F26 F27 F28 F29 F30 F31 F32 F33 G23 G24 G25 G26 G27 G28 G29 G30 G31 G32 G33 H23 H24 H25 H26 H27 H28 H29 H30 H31 H32 H33 I23 I24 I25 I26 I27 I28 I29 I30 I31 I32 I33" showDropDown="0" showInputMessage="0" showErrorMessage="0" allowBlank="0" type="decimal" operator="between">
      <formula1>0</formula1>
      <formula2>200</formula2>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cols>
    <col width="120" customWidth="1" min="1" max="1"/>
  </cols>
  <sheetData>
    <row r="1">
      <c r="A1" s="2" t="inlineStr">
        <is>
          <t># Diese Spalte enthält den fertigen CSV-Inhalt — markieren, kopieren, in Texteditor einfügen, als .csv speichern.</t>
        </is>
      </c>
    </row>
    <row r="2">
      <c r="A2" s="2" t="inlineStr">
        <is>
          <t># Tipp: Klicke auf den Spaltenkopf "A", drücke Strg+C, öffne einen Texteditor, drücke Strg+V, speichere als .csv</t>
        </is>
      </c>
    </row>
    <row r="3">
      <c r="A3" s="13" t="inlineStr">
        <is>
          <t># waldbau-viz Arbeitsstand (CSV Format)</t>
        </is>
      </c>
    </row>
    <row r="4">
      <c r="A4" s="13" t="inlineStr">
        <is>
          <t># Schemaversion: 1</t>
        </is>
      </c>
    </row>
    <row r="5">
      <c r="A5" s="13" t="inlineStr">
        <is>
          <t># Erstellt mit waldbau-state_VORLAGE.xlsx</t>
        </is>
      </c>
    </row>
    <row r="6">
      <c r="A6" s="13" t="inlineStr">
        <is>
          <t>#</t>
        </is>
      </c>
    </row>
    <row r="7">
      <c r="A7" s="13" t="inlineStr"/>
    </row>
    <row r="8">
      <c r="A8" s="13" t="inlineStr">
        <is>
          <t>##GLOBALS</t>
        </is>
      </c>
    </row>
    <row r="9">
      <c r="A9" s="13" t="inlineStr">
        <is>
          <t>key,value</t>
        </is>
      </c>
    </row>
    <row r="10">
      <c r="A10" s="13">
        <f>"mode,"&amp;Eingabe!B5</f>
        <v/>
      </c>
    </row>
    <row r="11">
      <c r="A11" s="13">
        <f>"density,"&amp;Eingabe!B6</f>
        <v/>
      </c>
    </row>
    <row r="12">
      <c r="A12" s="13">
        <f>"transectY,"&amp;Eingabe!B7</f>
        <v/>
      </c>
    </row>
    <row r="13">
      <c r="A13" s="13">
        <f>"transectWidth,"&amp;Eingabe!B8</f>
        <v/>
      </c>
    </row>
    <row r="14">
      <c r="A14" s="13">
        <f>"seed,"&amp;Eingabe!B9</f>
        <v/>
      </c>
    </row>
    <row r="15">
      <c r="A15" s="13">
        <f>"age,"&amp;Eingabe!B10</f>
        <v/>
      </c>
    </row>
    <row r="16">
      <c r="A16" s="13">
        <f>"timelineOn,"&amp;Eingabe!B11</f>
        <v/>
      </c>
    </row>
    <row r="17">
      <c r="A17" s="13">
        <f>"showVerjuengung,"&amp;Eingabe!B12</f>
        <v/>
      </c>
    </row>
    <row r="18">
      <c r="A18" s="13">
        <f>"showZBaum,"&amp;Eingabe!B13</f>
        <v/>
      </c>
    </row>
    <row r="19">
      <c r="A19" s="13">
        <f>"showTotholz,"&amp;Eingabe!B14</f>
        <v/>
      </c>
    </row>
    <row r="20">
      <c r="A20" s="13">
        <f>"showHabitat,"&amp;Eingabe!B15</f>
        <v/>
      </c>
    </row>
    <row r="21">
      <c r="A21" s="13">
        <f>"nHabitat,"&amp;Eingabe!B16</f>
        <v/>
      </c>
    </row>
    <row r="22">
      <c r="A22" s="13">
        <f>"dienerRadius,"&amp;Eingabe!B17</f>
        <v/>
      </c>
    </row>
    <row r="23">
      <c r="A23" s="13">
        <f>"mixPatternDefault,"&amp;Eingabe!B18</f>
        <v/>
      </c>
    </row>
    <row r="24">
      <c r="A24" s="13" t="inlineStr"/>
    </row>
    <row r="25">
      <c r="A25" s="13" t="inlineStr">
        <is>
          <t>##SPECIES</t>
        </is>
      </c>
    </row>
    <row r="26">
      <c r="A26" s="13" t="inlineStr">
        <is>
          <t>species,on,pct,h,cw,kl,ka,bhd,layerO,layerM,layerU,layerV,habitat,mixPattern,mixOverflow,diener</t>
        </is>
      </c>
    </row>
    <row r="27">
      <c r="A27" s="13">
        <f>Eingabe!A23&amp;","&amp;Eingabe!C23&amp;","&amp;Eingabe!D23&amp;","&amp;Eingabe!E23&amp;","&amp;Eingabe!F23&amp;","&amp;Eingabe!G23&amp;","&amp;Eingabe!H23&amp;","&amp;Eingabe!I23&amp;","&amp;Eingabe!J23&amp;","&amp;Eingabe!K23&amp;","&amp;Eingabe!L23&amp;","&amp;Eingabe!M23&amp;","&amp;Eingabe!N23&amp;","&amp;Eingabe!O23&amp;","&amp;Eingabe!P23&amp;","&amp;Eingabe!Q23</f>
        <v/>
      </c>
    </row>
    <row r="28">
      <c r="A28" s="13">
        <f>Eingabe!A24&amp;","&amp;Eingabe!C24&amp;","&amp;Eingabe!D24&amp;","&amp;Eingabe!E24&amp;","&amp;Eingabe!F24&amp;","&amp;Eingabe!G24&amp;","&amp;Eingabe!H24&amp;","&amp;Eingabe!I24&amp;","&amp;Eingabe!J24&amp;","&amp;Eingabe!K24&amp;","&amp;Eingabe!L24&amp;","&amp;Eingabe!M24&amp;","&amp;Eingabe!N24&amp;","&amp;Eingabe!O24&amp;","&amp;Eingabe!P24&amp;","&amp;Eingabe!Q24</f>
        <v/>
      </c>
    </row>
    <row r="29">
      <c r="A29" s="13">
        <f>Eingabe!A25&amp;","&amp;Eingabe!C25&amp;","&amp;Eingabe!D25&amp;","&amp;Eingabe!E25&amp;","&amp;Eingabe!F25&amp;","&amp;Eingabe!G25&amp;","&amp;Eingabe!H25&amp;","&amp;Eingabe!I25&amp;","&amp;Eingabe!J25&amp;","&amp;Eingabe!K25&amp;","&amp;Eingabe!L25&amp;","&amp;Eingabe!M25&amp;","&amp;Eingabe!N25&amp;","&amp;Eingabe!O25&amp;","&amp;Eingabe!P25&amp;","&amp;Eingabe!Q25</f>
        <v/>
      </c>
    </row>
    <row r="30">
      <c r="A30" s="13">
        <f>Eingabe!A26&amp;","&amp;Eingabe!C26&amp;","&amp;Eingabe!D26&amp;","&amp;Eingabe!E26&amp;","&amp;Eingabe!F26&amp;","&amp;Eingabe!G26&amp;","&amp;Eingabe!H26&amp;","&amp;Eingabe!I26&amp;","&amp;Eingabe!J26&amp;","&amp;Eingabe!K26&amp;","&amp;Eingabe!L26&amp;","&amp;Eingabe!M26&amp;","&amp;Eingabe!N26&amp;","&amp;Eingabe!O26&amp;","&amp;Eingabe!P26&amp;","&amp;Eingabe!Q26</f>
        <v/>
      </c>
    </row>
    <row r="31">
      <c r="A31" s="13">
        <f>Eingabe!A27&amp;","&amp;Eingabe!C27&amp;","&amp;Eingabe!D27&amp;","&amp;Eingabe!E27&amp;","&amp;Eingabe!F27&amp;","&amp;Eingabe!G27&amp;","&amp;Eingabe!H27&amp;","&amp;Eingabe!I27&amp;","&amp;Eingabe!J27&amp;","&amp;Eingabe!K27&amp;","&amp;Eingabe!L27&amp;","&amp;Eingabe!M27&amp;","&amp;Eingabe!N27&amp;","&amp;Eingabe!O27&amp;","&amp;Eingabe!P27&amp;","&amp;Eingabe!Q27</f>
        <v/>
      </c>
    </row>
    <row r="32">
      <c r="A32" s="13">
        <f>Eingabe!A28&amp;","&amp;Eingabe!C28&amp;","&amp;Eingabe!D28&amp;","&amp;Eingabe!E28&amp;","&amp;Eingabe!F28&amp;","&amp;Eingabe!G28&amp;","&amp;Eingabe!H28&amp;","&amp;Eingabe!I28&amp;","&amp;Eingabe!J28&amp;","&amp;Eingabe!K28&amp;","&amp;Eingabe!L28&amp;","&amp;Eingabe!M28&amp;","&amp;Eingabe!N28&amp;","&amp;Eingabe!O28&amp;","&amp;Eingabe!P28&amp;","&amp;Eingabe!Q28</f>
        <v/>
      </c>
    </row>
    <row r="33">
      <c r="A33" s="13">
        <f>Eingabe!A29&amp;","&amp;Eingabe!C29&amp;","&amp;Eingabe!D29&amp;","&amp;Eingabe!E29&amp;","&amp;Eingabe!F29&amp;","&amp;Eingabe!G29&amp;","&amp;Eingabe!H29&amp;","&amp;Eingabe!I29&amp;","&amp;Eingabe!J29&amp;","&amp;Eingabe!K29&amp;","&amp;Eingabe!L29&amp;","&amp;Eingabe!M29&amp;","&amp;Eingabe!N29&amp;","&amp;Eingabe!O29&amp;","&amp;Eingabe!P29&amp;","&amp;Eingabe!Q29</f>
        <v/>
      </c>
    </row>
    <row r="34">
      <c r="A34" s="13">
        <f>Eingabe!A30&amp;","&amp;Eingabe!C30&amp;","&amp;Eingabe!D30&amp;","&amp;Eingabe!E30&amp;","&amp;Eingabe!F30&amp;","&amp;Eingabe!G30&amp;","&amp;Eingabe!H30&amp;","&amp;Eingabe!I30&amp;","&amp;Eingabe!J30&amp;","&amp;Eingabe!K30&amp;","&amp;Eingabe!L30&amp;","&amp;Eingabe!M30&amp;","&amp;Eingabe!N30&amp;","&amp;Eingabe!O30&amp;","&amp;Eingabe!P30&amp;","&amp;Eingabe!Q30</f>
        <v/>
      </c>
    </row>
    <row r="35">
      <c r="A35" s="13">
        <f>Eingabe!A31&amp;","&amp;Eingabe!C31&amp;","&amp;Eingabe!D31&amp;","&amp;Eingabe!E31&amp;","&amp;Eingabe!F31&amp;","&amp;Eingabe!G31&amp;","&amp;Eingabe!H31&amp;","&amp;Eingabe!I31&amp;","&amp;Eingabe!J31&amp;","&amp;Eingabe!K31&amp;","&amp;Eingabe!L31&amp;","&amp;Eingabe!M31&amp;","&amp;Eingabe!N31&amp;","&amp;Eingabe!O31&amp;","&amp;Eingabe!P31&amp;","&amp;Eingabe!Q31</f>
        <v/>
      </c>
    </row>
    <row r="36">
      <c r="A36" s="13">
        <f>Eingabe!A32&amp;","&amp;Eingabe!C32&amp;","&amp;Eingabe!D32&amp;","&amp;Eingabe!E32&amp;","&amp;Eingabe!F32&amp;","&amp;Eingabe!G32&amp;","&amp;Eingabe!H32&amp;","&amp;Eingabe!I32&amp;","&amp;Eingabe!J32&amp;","&amp;Eingabe!K32&amp;","&amp;Eingabe!L32&amp;","&amp;Eingabe!M32&amp;","&amp;Eingabe!N32&amp;","&amp;Eingabe!O32&amp;","&amp;Eingabe!P32&amp;","&amp;Eingabe!Q32</f>
        <v/>
      </c>
    </row>
    <row r="37">
      <c r="A37" s="13">
        <f>Eingabe!A33&amp;","&amp;Eingabe!C33&amp;","&amp;Eingabe!D33&amp;","&amp;Eingabe!E33&amp;","&amp;Eingabe!F33&amp;","&amp;Eingabe!G33&amp;","&amp;Eingabe!H33&amp;","&amp;Eingabe!I33&amp;","&amp;Eingabe!J33&amp;","&amp;Eingabe!K33&amp;","&amp;Eingabe!L33&amp;","&amp;Eingabe!M33&amp;","&amp;Eingabe!N33&amp;","&amp;Eingabe!O33&amp;","&amp;Eingabe!P33&amp;","&amp;Eingabe!Q33</f>
        <v/>
      </c>
    </row>
    <row r="38">
      <c r="A38" s="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2026-04-11T01:06:17Z</dcterms:created>
  <dcterms:modified xmlns:dcterms="http://purl.org/dc/terms/" xmlns:xsi="http://www.w3.org/2001/XMLSchema-instance" xsi:type="dcterms:W3CDTF">2026-04-11T01:06:17Z</dcterms:modified>
</cp:coreProperties>
</file>